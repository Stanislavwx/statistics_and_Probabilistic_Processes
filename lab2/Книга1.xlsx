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anislav\Desktop\statistics_and_Probabilistic_Processes\lab2v1\"/>
    </mc:Choice>
  </mc:AlternateContent>
  <xr:revisionPtr revIDLastSave="0" documentId="13_ncr:1_{A01A4932-A6EE-410F-B50D-6C007956DCFF}" xr6:coauthVersionLast="47" xr6:coauthVersionMax="47" xr10:uidLastSave="{00000000-0000-0000-0000-000000000000}"/>
  <bookViews>
    <workbookView xWindow="-110" yWindow="-110" windowWidth="19420" windowHeight="10300" xr2:uid="{125D0761-3DC6-4EFC-A456-B5A6ED2A559D}"/>
  </bookViews>
  <sheets>
    <sheet name="Аркуш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" i="1" l="1"/>
  <c r="D5" i="1"/>
  <c r="E3" i="1" s="1"/>
  <c r="F3" i="1" s="1"/>
  <c r="E4" i="1"/>
  <c r="F4" i="1" s="1"/>
</calcChain>
</file>

<file path=xl/sharedStrings.xml><?xml version="1.0" encoding="utf-8"?>
<sst xmlns="http://schemas.openxmlformats.org/spreadsheetml/2006/main" count="118" uniqueCount="48">
  <si>
    <t>Фігура</t>
  </si>
  <si>
    <t>Початкова
ймовірність,
P(Вi)</t>
  </si>
  <si>
    <t>Добуток
імовірностей
P(Вi)*P(A|Bi)</t>
  </si>
  <si>
    <t>Імовірність
після
нормалізації
P(Bi|A)</t>
  </si>
  <si>
    <t>Імовірність
випадання числа
5, P(A|Bi)</t>
  </si>
  <si>
    <t>Тертаедр</t>
  </si>
  <si>
    <t>Куб</t>
  </si>
  <si>
    <t>Октаедр</t>
  </si>
  <si>
    <t xml:space="preserve"> Сумарна ймовірність, P(А) </t>
  </si>
  <si>
    <t>Імовірність
випадання числа
4 після 5 P(A|Bi)</t>
  </si>
  <si>
    <t>Імовірність
випадання числа
2, P(A|Bi)</t>
  </si>
  <si>
    <t>1/4</t>
  </si>
  <si>
    <t>1/6</t>
  </si>
  <si>
    <t>1/8</t>
  </si>
  <si>
    <t>Імовірність
випадання числа
5 після 2 P(A|Bi)</t>
  </si>
  <si>
    <t>1/648</t>
  </si>
  <si>
    <t>1/1536</t>
  </si>
  <si>
    <t>91/41472</t>
  </si>
  <si>
    <t>64/91</t>
  </si>
  <si>
    <t>27/91</t>
  </si>
  <si>
    <t>Номер кидання</t>
  </si>
  <si>
    <t>Число, що спостерігаємо</t>
  </si>
  <si>
    <t>4d</t>
  </si>
  <si>
    <t>6d</t>
  </si>
  <si>
    <t>8d</t>
  </si>
  <si>
    <t>12d</t>
  </si>
  <si>
    <t>20d</t>
  </si>
  <si>
    <t>P(Вi)</t>
  </si>
  <si>
    <t>Фігура -&gt;</t>
  </si>
  <si>
    <t>P(B1|A) -&gt;</t>
  </si>
  <si>
    <t>P(B2|A) -&gt;</t>
  </si>
  <si>
    <t>P(B3|A) -&gt;</t>
  </si>
  <si>
    <t>P(B4|A) -&gt;</t>
  </si>
  <si>
    <t>P(B5|A) -&gt;</t>
  </si>
  <si>
    <t>P(B6|A) -&gt;</t>
  </si>
  <si>
    <t>P(B7|A) -&gt;</t>
  </si>
  <si>
    <t>P(B8|A) -&gt;</t>
  </si>
  <si>
    <t>P(B9|A) -&gt;</t>
  </si>
  <si>
    <t>P(B10|A) -&gt;</t>
  </si>
  <si>
    <t>2d</t>
  </si>
  <si>
    <t>1/12</t>
  </si>
  <si>
    <t>1/2</t>
  </si>
  <si>
    <t>1/20</t>
  </si>
  <si>
    <t>0</t>
  </si>
  <si>
    <t>1/(12^10)</t>
  </si>
  <si>
    <t>1/(8^10)</t>
  </si>
  <si>
    <t>1/(20^10)</t>
  </si>
  <si>
    <t>Відсоткова ймовірність фігури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</si>
</sst>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&quot; &quot;???/???"/>
    <numFmt numFmtId="165" formatCode="0.000%"/>
  </numFmts>
  <fonts count="3" x14ac:knownFonts="1">
    <font>
      <sz val="11"/>
      <color theme="1"/>
      <name val="Aptos Narrow"/>
      <family val="2"/>
      <charset val="204"/>
      <scheme val="minor"/>
    </font>
    <font>
      <sz val="8"/>
      <name val="Aptos Narrow"/>
      <family val="2"/>
      <charset val="204"/>
      <scheme val="minor"/>
    </font>
    <font>
      <sz val="10"/>
      <color rgb="FF00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12" fontId="0" fillId="0" borderId="0" xfId="0" applyNumberFormat="1"/>
    <xf numFmtId="13" fontId="0" fillId="0" borderId="0" xfId="0" applyNumberFormat="1"/>
    <xf numFmtId="164" fontId="0" fillId="0" borderId="0" xfId="0" applyNumberFormat="1"/>
    <xf numFmtId="164" fontId="0" fillId="0" borderId="0" xfId="0" applyNumberFormat="1" applyAlignment="1">
      <alignment horizontal="right"/>
    </xf>
    <xf numFmtId="165" fontId="0" fillId="0" borderId="0" xfId="0" applyNumberFormat="1"/>
    <xf numFmtId="49" fontId="0" fillId="0" borderId="0" xfId="0" applyNumberFormat="1" applyAlignment="1">
      <alignment horizontal="right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right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13" fontId="0" fillId="0" borderId="1" xfId="0" applyNumberFormat="1" applyBorder="1"/>
    <xf numFmtId="49" fontId="0" fillId="0" borderId="1" xfId="0" applyNumberFormat="1" applyBorder="1" applyAlignment="1">
      <alignment horizontal="right"/>
    </xf>
    <xf numFmtId="0" fontId="0" fillId="0" borderId="1" xfId="0" applyBorder="1" applyAlignment="1">
      <alignment vertical="center" wrapText="1"/>
    </xf>
    <xf numFmtId="49" fontId="0" fillId="0" borderId="1" xfId="0" applyNumberFormat="1" applyBorder="1" applyAlignment="1">
      <alignment wrapText="1"/>
    </xf>
    <xf numFmtId="49" fontId="0" fillId="0" borderId="1" xfId="0" applyNumberFormat="1" applyBorder="1"/>
    <xf numFmtId="10" fontId="0" fillId="0" borderId="1" xfId="0" applyNumberFormat="1" applyBorder="1"/>
    <xf numFmtId="165" fontId="0" fillId="0" borderId="1" xfId="0" applyNumberFormat="1" applyBorder="1"/>
    <xf numFmtId="165" fontId="2" fillId="0" borderId="1" xfId="0" applyNumberFormat="1" applyFont="1" applyBorder="1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556260</xdr:colOff>
      <xdr:row>29</xdr:row>
      <xdr:rowOff>175260</xdr:rowOff>
    </xdr:from>
    <xdr:to>
      <xdr:col>15</xdr:col>
      <xdr:colOff>135894</xdr:colOff>
      <xdr:row>31</xdr:row>
      <xdr:rowOff>76237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9857715C-281D-9B40-C889-FBF375EF7C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40040" y="8404860"/>
          <a:ext cx="4582164" cy="266737"/>
        </a:xfrm>
        <a:prstGeom prst="rect">
          <a:avLst/>
        </a:prstGeom>
      </xdr:spPr>
    </xdr:pic>
    <xdr:clientData/>
  </xdr:twoCellAnchor>
  <xdr:twoCellAnchor editAs="oneCell">
    <xdr:from>
      <xdr:col>15</xdr:col>
      <xdr:colOff>601980</xdr:colOff>
      <xdr:row>26</xdr:row>
      <xdr:rowOff>281940</xdr:rowOff>
    </xdr:from>
    <xdr:to>
      <xdr:col>16</xdr:col>
      <xdr:colOff>893571</xdr:colOff>
      <xdr:row>26</xdr:row>
      <xdr:rowOff>617267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B9849FCA-A93E-FCBC-A145-97CD602D5B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984480" y="7414260"/>
          <a:ext cx="905001" cy="333422"/>
        </a:xfrm>
        <a:prstGeom prst="rect">
          <a:avLst/>
        </a:prstGeom>
      </xdr:spPr>
    </xdr:pic>
    <xdr:clientData/>
  </xdr:twoCellAnchor>
  <xdr:twoCellAnchor editAs="oneCell">
    <xdr:from>
      <xdr:col>16</xdr:col>
      <xdr:colOff>914400</xdr:colOff>
      <xdr:row>26</xdr:row>
      <xdr:rowOff>251460</xdr:rowOff>
    </xdr:from>
    <xdr:to>
      <xdr:col>18</xdr:col>
      <xdr:colOff>20806</xdr:colOff>
      <xdr:row>26</xdr:row>
      <xdr:rowOff>628602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6E4D527D-71A7-286D-658C-5D865203C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906500" y="7383780"/>
          <a:ext cx="1190476" cy="380952"/>
        </a:xfrm>
        <a:prstGeom prst="rect">
          <a:avLst/>
        </a:prstGeom>
      </xdr:spPr>
    </xdr:pic>
    <xdr:clientData/>
  </xdr:twoCellAnchor>
  <xdr:twoCellAnchor editAs="oneCell">
    <xdr:from>
      <xdr:col>18</xdr:col>
      <xdr:colOff>60960</xdr:colOff>
      <xdr:row>26</xdr:row>
      <xdr:rowOff>213360</xdr:rowOff>
    </xdr:from>
    <xdr:to>
      <xdr:col>18</xdr:col>
      <xdr:colOff>1198403</xdr:colOff>
      <xdr:row>26</xdr:row>
      <xdr:rowOff>590603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1D7FE1AA-60A3-2CEC-E8A7-6CBA94B88B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140940" y="7345680"/>
          <a:ext cx="1133633" cy="381053"/>
        </a:xfrm>
        <a:prstGeom prst="rect">
          <a:avLst/>
        </a:prstGeom>
      </xdr:spPr>
    </xdr:pic>
    <xdr:clientData/>
  </xdr:twoCellAnchor>
  <xdr:twoCellAnchor editAs="oneCell">
    <xdr:from>
      <xdr:col>10</xdr:col>
      <xdr:colOff>822960</xdr:colOff>
      <xdr:row>25</xdr:row>
      <xdr:rowOff>91440</xdr:rowOff>
    </xdr:from>
    <xdr:to>
      <xdr:col>11</xdr:col>
      <xdr:colOff>1449914</xdr:colOff>
      <xdr:row>25</xdr:row>
      <xdr:rowOff>476303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92A9297F-14BC-92E7-4FAD-147C284725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816340" y="6675120"/>
          <a:ext cx="1495634" cy="381053"/>
        </a:xfrm>
        <a:prstGeom prst="rect">
          <a:avLst/>
        </a:prstGeom>
      </xdr:spPr>
    </xdr:pic>
    <xdr:clientData/>
  </xdr:twoCellAnchor>
  <xdr:twoCellAnchor editAs="oneCell">
    <xdr:from>
      <xdr:col>19</xdr:col>
      <xdr:colOff>309711</xdr:colOff>
      <xdr:row>13</xdr:row>
      <xdr:rowOff>25831</xdr:rowOff>
    </xdr:from>
    <xdr:to>
      <xdr:col>34</xdr:col>
      <xdr:colOff>554110</xdr:colOff>
      <xdr:row>33</xdr:row>
      <xdr:rowOff>130699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5C9D9B9B-8566-DA3D-F16D-ED901AAC66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582931" y="3939153"/>
          <a:ext cx="9349654" cy="54646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Офіс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5796C-EA2D-4E5D-A86C-B218E575E3AC}">
  <dimension ref="A1:S28"/>
  <sheetViews>
    <sheetView tabSelected="1" topLeftCell="C15" zoomScale="51" zoomScaleNormal="100" workbookViewId="0">
      <selection activeCell="J13" sqref="J13:T28"/>
    </sheetView>
  </sheetViews>
  <sheetFormatPr defaultRowHeight="14.5" x14ac:dyDescent="0.35"/>
  <cols>
    <col min="2" max="2" width="11.1796875" customWidth="1"/>
    <col min="3" max="3" width="16.453125" customWidth="1"/>
    <col min="4" max="4" width="15.08984375" customWidth="1"/>
    <col min="5" max="5" width="14.54296875" customWidth="1"/>
    <col min="6" max="6" width="11.6328125" customWidth="1"/>
    <col min="7" max="7" width="11.81640625" customWidth="1"/>
    <col min="8" max="8" width="10.54296875" customWidth="1"/>
    <col min="11" max="11" width="12.6328125" customWidth="1"/>
    <col min="12" max="12" width="21.36328125" customWidth="1"/>
    <col min="13" max="13" width="12.1796875" customWidth="1"/>
    <col min="17" max="17" width="13.54296875" customWidth="1"/>
    <col min="18" max="18" width="16.90625" customWidth="1"/>
    <col min="19" max="19" width="17.81640625" customWidth="1"/>
  </cols>
  <sheetData>
    <row r="1" spans="1:19" ht="58" x14ac:dyDescent="0.35">
      <c r="A1" s="1" t="s">
        <v>0</v>
      </c>
      <c r="B1" s="2" t="s">
        <v>1</v>
      </c>
      <c r="C1" s="2" t="s">
        <v>4</v>
      </c>
      <c r="D1" s="2" t="s">
        <v>2</v>
      </c>
      <c r="E1" s="2" t="s">
        <v>3</v>
      </c>
      <c r="F1" s="9" t="s">
        <v>47</v>
      </c>
    </row>
    <row r="2" spans="1:19" x14ac:dyDescent="0.35">
      <c r="A2" t="s">
        <v>5</v>
      </c>
      <c r="B2" s="3">
        <v>0.33333333333333331</v>
      </c>
      <c r="C2" s="3">
        <v>0</v>
      </c>
      <c r="D2" s="3">
        <v>0</v>
      </c>
      <c r="E2" s="3">
        <v>0</v>
      </c>
      <c r="F2" s="3">
        <v>0</v>
      </c>
    </row>
    <row r="3" spans="1:19" x14ac:dyDescent="0.35">
      <c r="A3" t="s">
        <v>6</v>
      </c>
      <c r="B3" s="3">
        <v>0.33333333333333331</v>
      </c>
      <c r="C3" s="3">
        <v>0.16666666666666666</v>
      </c>
      <c r="D3" s="4">
        <v>5.5555555555555552E-2</v>
      </c>
      <c r="E3" s="4">
        <f>D3/D5</f>
        <v>0.57142857142857151</v>
      </c>
      <c r="F3" s="7">
        <f>E3</f>
        <v>0.57142857142857151</v>
      </c>
    </row>
    <row r="4" spans="1:19" x14ac:dyDescent="0.35">
      <c r="A4" t="s">
        <v>7</v>
      </c>
      <c r="B4" s="3">
        <v>0.33333333333333331</v>
      </c>
      <c r="C4" s="3">
        <v>0.125</v>
      </c>
      <c r="D4" s="4">
        <v>4.1666666666666664E-2</v>
      </c>
      <c r="E4" s="4">
        <f>D4/D5</f>
        <v>0.4285714285714286</v>
      </c>
      <c r="F4" s="7">
        <f>E4</f>
        <v>0.4285714285714286</v>
      </c>
    </row>
    <row r="5" spans="1:19" x14ac:dyDescent="0.35">
      <c r="A5" s="10" t="s">
        <v>8</v>
      </c>
      <c r="B5" s="10"/>
      <c r="C5" s="10"/>
      <c r="D5" s="5">
        <f>D3+D4</f>
        <v>9.722222222222221E-2</v>
      </c>
      <c r="E5" s="3"/>
    </row>
    <row r="8" spans="1:19" ht="58" x14ac:dyDescent="0.35">
      <c r="A8" s="1" t="s">
        <v>0</v>
      </c>
      <c r="B8" s="2" t="s">
        <v>1</v>
      </c>
      <c r="C8" s="2" t="s">
        <v>10</v>
      </c>
      <c r="D8" s="2" t="s">
        <v>14</v>
      </c>
      <c r="E8" s="2" t="s">
        <v>9</v>
      </c>
      <c r="F8" s="2" t="s">
        <v>2</v>
      </c>
      <c r="G8" s="2" t="s">
        <v>3</v>
      </c>
      <c r="H8" s="9" t="s">
        <v>47</v>
      </c>
    </row>
    <row r="9" spans="1:19" x14ac:dyDescent="0.35">
      <c r="A9" t="s">
        <v>5</v>
      </c>
      <c r="B9" s="6">
        <v>0.33333333333333331</v>
      </c>
      <c r="C9" s="8" t="s">
        <v>11</v>
      </c>
      <c r="D9" s="8">
        <v>0</v>
      </c>
      <c r="E9" s="8">
        <v>0</v>
      </c>
      <c r="F9" s="8">
        <v>0</v>
      </c>
      <c r="G9" s="8">
        <v>0</v>
      </c>
      <c r="H9" s="8">
        <v>0</v>
      </c>
    </row>
    <row r="10" spans="1:19" x14ac:dyDescent="0.35">
      <c r="A10" t="s">
        <v>6</v>
      </c>
      <c r="B10" s="6">
        <v>0.33333333333333331</v>
      </c>
      <c r="C10" s="8" t="s">
        <v>12</v>
      </c>
      <c r="D10" s="8" t="s">
        <v>12</v>
      </c>
      <c r="E10" s="8" t="s">
        <v>12</v>
      </c>
      <c r="F10" s="8" t="s">
        <v>15</v>
      </c>
      <c r="G10" s="8" t="s">
        <v>18</v>
      </c>
      <c r="H10" s="7">
        <f>64/91</f>
        <v>0.70329670329670335</v>
      </c>
    </row>
    <row r="11" spans="1:19" x14ac:dyDescent="0.35">
      <c r="A11" t="s">
        <v>7</v>
      </c>
      <c r="B11" s="6">
        <v>0.33333333333333331</v>
      </c>
      <c r="C11" s="8" t="s">
        <v>13</v>
      </c>
      <c r="D11" s="8" t="s">
        <v>13</v>
      </c>
      <c r="E11" s="8" t="s">
        <v>13</v>
      </c>
      <c r="F11" s="8" t="s">
        <v>16</v>
      </c>
      <c r="G11" s="8" t="s">
        <v>19</v>
      </c>
      <c r="H11" s="7">
        <v>0.2967032967032967</v>
      </c>
    </row>
    <row r="12" spans="1:19" x14ac:dyDescent="0.35">
      <c r="A12" s="10" t="s">
        <v>8</v>
      </c>
      <c r="B12" s="10"/>
      <c r="C12" s="10"/>
      <c r="D12" s="6" t="s">
        <v>17</v>
      </c>
      <c r="E12" s="3"/>
    </row>
    <row r="13" spans="1:19" ht="21" customHeight="1" x14ac:dyDescent="0.35"/>
    <row r="14" spans="1:19" ht="19.25" customHeight="1" x14ac:dyDescent="0.35">
      <c r="K14" s="11"/>
      <c r="L14" s="11"/>
      <c r="M14" s="11" t="s">
        <v>28</v>
      </c>
      <c r="N14" s="12" t="s">
        <v>39</v>
      </c>
      <c r="O14" s="12" t="s">
        <v>22</v>
      </c>
      <c r="P14" s="12" t="s">
        <v>23</v>
      </c>
      <c r="Q14" s="12" t="s">
        <v>24</v>
      </c>
      <c r="R14" s="12" t="s">
        <v>25</v>
      </c>
      <c r="S14" s="12" t="s">
        <v>26</v>
      </c>
    </row>
    <row r="15" spans="1:19" ht="46.25" customHeight="1" x14ac:dyDescent="0.35">
      <c r="K15" s="13" t="s">
        <v>20</v>
      </c>
      <c r="L15" s="14" t="s">
        <v>21</v>
      </c>
      <c r="M15" s="11" t="s">
        <v>27</v>
      </c>
      <c r="N15" s="15">
        <v>0.16666666666666666</v>
      </c>
      <c r="O15" s="15">
        <v>0.16666666666666666</v>
      </c>
      <c r="P15" s="15">
        <v>0.16666666666666666</v>
      </c>
      <c r="Q15" s="15">
        <v>0.16666666666666666</v>
      </c>
      <c r="R15" s="15">
        <v>0.16666666666666666</v>
      </c>
      <c r="S15" s="15">
        <v>0.16666666666666666</v>
      </c>
    </row>
    <row r="16" spans="1:19" x14ac:dyDescent="0.35">
      <c r="K16" s="11">
        <v>1</v>
      </c>
      <c r="L16" s="11">
        <v>7</v>
      </c>
      <c r="M16" s="11" t="s">
        <v>29</v>
      </c>
      <c r="N16" s="16">
        <v>0</v>
      </c>
      <c r="O16" s="16">
        <v>0</v>
      </c>
      <c r="P16" s="16">
        <v>0</v>
      </c>
      <c r="Q16" s="16" t="s">
        <v>13</v>
      </c>
      <c r="R16" s="16" t="s">
        <v>40</v>
      </c>
      <c r="S16" s="16" t="s">
        <v>42</v>
      </c>
    </row>
    <row r="17" spans="11:19" x14ac:dyDescent="0.35">
      <c r="K17" s="11">
        <v>2</v>
      </c>
      <c r="L17" s="11">
        <v>2</v>
      </c>
      <c r="M17" s="11" t="s">
        <v>30</v>
      </c>
      <c r="N17" s="16" t="s">
        <v>41</v>
      </c>
      <c r="O17" s="16" t="s">
        <v>11</v>
      </c>
      <c r="P17" s="16" t="s">
        <v>12</v>
      </c>
      <c r="Q17" s="16" t="s">
        <v>13</v>
      </c>
      <c r="R17" s="16" t="s">
        <v>40</v>
      </c>
      <c r="S17" s="16" t="s">
        <v>42</v>
      </c>
    </row>
    <row r="18" spans="11:19" x14ac:dyDescent="0.35">
      <c r="K18" s="11">
        <v>3</v>
      </c>
      <c r="L18" s="11">
        <v>2</v>
      </c>
      <c r="M18" s="11" t="s">
        <v>31</v>
      </c>
      <c r="N18" s="16" t="s">
        <v>41</v>
      </c>
      <c r="O18" s="16" t="s">
        <v>11</v>
      </c>
      <c r="P18" s="16" t="s">
        <v>12</v>
      </c>
      <c r="Q18" s="16" t="s">
        <v>13</v>
      </c>
      <c r="R18" s="16" t="s">
        <v>40</v>
      </c>
      <c r="S18" s="16" t="s">
        <v>42</v>
      </c>
    </row>
    <row r="19" spans="11:19" x14ac:dyDescent="0.35">
      <c r="K19" s="11">
        <v>4</v>
      </c>
      <c r="L19" s="11">
        <v>5</v>
      </c>
      <c r="M19" s="11" t="s">
        <v>32</v>
      </c>
      <c r="N19" s="16" t="s">
        <v>43</v>
      </c>
      <c r="O19" s="16" t="s">
        <v>43</v>
      </c>
      <c r="P19" s="16" t="s">
        <v>12</v>
      </c>
      <c r="Q19" s="16" t="s">
        <v>13</v>
      </c>
      <c r="R19" s="16" t="s">
        <v>40</v>
      </c>
      <c r="S19" s="16" t="s">
        <v>42</v>
      </c>
    </row>
    <row r="20" spans="11:19" x14ac:dyDescent="0.35">
      <c r="K20" s="11">
        <v>5</v>
      </c>
      <c r="L20" s="11">
        <v>6</v>
      </c>
      <c r="M20" s="11" t="s">
        <v>33</v>
      </c>
      <c r="N20" s="16" t="s">
        <v>43</v>
      </c>
      <c r="O20" s="16" t="s">
        <v>43</v>
      </c>
      <c r="P20" s="16" t="s">
        <v>12</v>
      </c>
      <c r="Q20" s="16" t="s">
        <v>13</v>
      </c>
      <c r="R20" s="16" t="s">
        <v>40</v>
      </c>
      <c r="S20" s="16" t="s">
        <v>42</v>
      </c>
    </row>
    <row r="21" spans="11:19" x14ac:dyDescent="0.35">
      <c r="K21" s="11">
        <v>6</v>
      </c>
      <c r="L21" s="11">
        <v>1</v>
      </c>
      <c r="M21" s="11" t="s">
        <v>34</v>
      </c>
      <c r="N21" s="16" t="s">
        <v>41</v>
      </c>
      <c r="O21" s="16" t="s">
        <v>11</v>
      </c>
      <c r="P21" s="16" t="s">
        <v>12</v>
      </c>
      <c r="Q21" s="16" t="s">
        <v>13</v>
      </c>
      <c r="R21" s="16" t="s">
        <v>40</v>
      </c>
      <c r="S21" s="16" t="s">
        <v>42</v>
      </c>
    </row>
    <row r="22" spans="11:19" x14ac:dyDescent="0.35">
      <c r="K22" s="11">
        <v>7</v>
      </c>
      <c r="L22" s="11">
        <v>6</v>
      </c>
      <c r="M22" s="11" t="s">
        <v>35</v>
      </c>
      <c r="N22" s="16" t="s">
        <v>43</v>
      </c>
      <c r="O22" s="16" t="s">
        <v>43</v>
      </c>
      <c r="P22" s="16" t="s">
        <v>12</v>
      </c>
      <c r="Q22" s="16" t="s">
        <v>13</v>
      </c>
      <c r="R22" s="16" t="s">
        <v>40</v>
      </c>
      <c r="S22" s="16" t="s">
        <v>42</v>
      </c>
    </row>
    <row r="23" spans="11:19" x14ac:dyDescent="0.35">
      <c r="K23" s="11">
        <v>8</v>
      </c>
      <c r="L23" s="11">
        <v>6</v>
      </c>
      <c r="M23" s="11" t="s">
        <v>36</v>
      </c>
      <c r="N23" s="16" t="s">
        <v>43</v>
      </c>
      <c r="O23" s="16" t="s">
        <v>43</v>
      </c>
      <c r="P23" s="16" t="s">
        <v>12</v>
      </c>
      <c r="Q23" s="16" t="s">
        <v>13</v>
      </c>
      <c r="R23" s="16" t="s">
        <v>40</v>
      </c>
      <c r="S23" s="16" t="s">
        <v>42</v>
      </c>
    </row>
    <row r="24" spans="11:19" x14ac:dyDescent="0.35">
      <c r="K24" s="11">
        <v>9</v>
      </c>
      <c r="L24" s="11">
        <v>4</v>
      </c>
      <c r="M24" s="11" t="s">
        <v>37</v>
      </c>
      <c r="N24" s="16" t="s">
        <v>43</v>
      </c>
      <c r="O24" s="16" t="s">
        <v>11</v>
      </c>
      <c r="P24" s="16" t="s">
        <v>12</v>
      </c>
      <c r="Q24" s="16" t="s">
        <v>13</v>
      </c>
      <c r="R24" s="16" t="s">
        <v>40</v>
      </c>
      <c r="S24" s="16" t="s">
        <v>42</v>
      </c>
    </row>
    <row r="25" spans="11:19" x14ac:dyDescent="0.35">
      <c r="K25" s="11">
        <v>10</v>
      </c>
      <c r="L25" s="11">
        <v>7</v>
      </c>
      <c r="M25" s="11" t="s">
        <v>38</v>
      </c>
      <c r="N25" s="16" t="s">
        <v>43</v>
      </c>
      <c r="O25" s="16" t="s">
        <v>43</v>
      </c>
      <c r="P25" s="16" t="s">
        <v>43</v>
      </c>
      <c r="Q25" s="16" t="s">
        <v>13</v>
      </c>
      <c r="R25" s="16" t="s">
        <v>40</v>
      </c>
      <c r="S25" s="16" t="s">
        <v>42</v>
      </c>
    </row>
    <row r="26" spans="11:19" ht="43.5" x14ac:dyDescent="0.35">
      <c r="K26" s="13" t="s">
        <v>8</v>
      </c>
      <c r="L26" s="11"/>
      <c r="M26" s="17" t="s">
        <v>2</v>
      </c>
      <c r="N26" s="11">
        <v>0</v>
      </c>
      <c r="O26" s="11">
        <v>0</v>
      </c>
      <c r="P26" s="11">
        <v>0</v>
      </c>
      <c r="Q26" s="18" t="s">
        <v>45</v>
      </c>
      <c r="R26" s="19" t="s">
        <v>44</v>
      </c>
      <c r="S26" s="19" t="s">
        <v>46</v>
      </c>
    </row>
    <row r="27" spans="11:19" ht="58" x14ac:dyDescent="0.35">
      <c r="K27" s="11"/>
      <c r="L27" s="11"/>
      <c r="M27" s="17" t="s">
        <v>3</v>
      </c>
      <c r="N27" s="11">
        <v>0</v>
      </c>
      <c r="O27" s="11">
        <v>0</v>
      </c>
      <c r="P27" s="11">
        <v>0</v>
      </c>
      <c r="Q27" s="11"/>
      <c r="R27" s="18"/>
      <c r="S27" s="11"/>
    </row>
    <row r="28" spans="11:19" ht="43.5" x14ac:dyDescent="0.35">
      <c r="K28" s="11"/>
      <c r="L28" s="11"/>
      <c r="M28" s="13" t="s">
        <v>47</v>
      </c>
      <c r="N28" s="20">
        <v>0</v>
      </c>
      <c r="O28" s="20">
        <v>0</v>
      </c>
      <c r="P28" s="20">
        <v>0</v>
      </c>
      <c r="Q28" s="21">
        <v>0.98280000000000001</v>
      </c>
      <c r="R28" s="22">
        <v>1.7044E-2</v>
      </c>
      <c r="S28" s="21">
        <v>1.03059582585002E-4</v>
      </c>
    </row>
  </sheetData>
  <mergeCells count="2">
    <mergeCell ref="A5:C5"/>
    <mergeCell ref="A12:C12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Bohdan Rak</dc:creator>
  <cp:lastModifiedBy>Stanislav</cp:lastModifiedBy>
  <dcterms:created xsi:type="dcterms:W3CDTF">2026-02-25T20:26:33Z</dcterms:created>
  <dcterms:modified xsi:type="dcterms:W3CDTF">2026-03-26T16:45:46Z</dcterms:modified>
</cp:coreProperties>
</file>